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ty Fuji\Báo giá\2025\A ĐẠT (Cầu Yên Lệnh)\"/>
    </mc:Choice>
  </mc:AlternateContent>
  <xr:revisionPtr revIDLastSave="0" documentId="13_ncr:1_{E6FFB7B6-8069-4326-B33D-E89452CDFA04}" xr6:coauthVersionLast="46" xr6:coauthVersionMax="46" xr10:uidLastSave="{00000000-0000-0000-0000-000000000000}"/>
  <bookViews>
    <workbookView xWindow="-120" yWindow="-120" windowWidth="20730" windowHeight="11160" xr2:uid="{95FD3498-472F-4AF9-90C9-0EAF895DE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6" i="1"/>
  <c r="Q17" i="1"/>
  <c r="Q19" i="1"/>
  <c r="Q20" i="1"/>
  <c r="Q21" i="1"/>
  <c r="Q14" i="1"/>
  <c r="Q13" i="1"/>
  <c r="M15" i="1"/>
  <c r="M16" i="1"/>
  <c r="M17" i="1"/>
  <c r="M19" i="1"/>
  <c r="M20" i="1"/>
  <c r="M21" i="1"/>
  <c r="M22" i="1"/>
  <c r="Q22" i="1" s="1"/>
  <c r="M14" i="1"/>
  <c r="M13" i="1"/>
  <c r="I6" i="1"/>
  <c r="Q6" i="1"/>
  <c r="M6" i="1"/>
  <c r="Q7" i="1"/>
  <c r="M7" i="1"/>
  <c r="I8" i="1"/>
  <c r="I7" i="1"/>
  <c r="I9" i="1"/>
  <c r="I12" i="1"/>
  <c r="I14" i="1"/>
  <c r="I15" i="1"/>
  <c r="I16" i="1"/>
  <c r="I17" i="1"/>
  <c r="I19" i="1"/>
  <c r="I20" i="1"/>
  <c r="I21" i="1"/>
  <c r="I22" i="1"/>
  <c r="I13" i="1"/>
  <c r="E22" i="1"/>
  <c r="D21" i="1"/>
  <c r="E21" i="1" s="1"/>
  <c r="E20" i="1"/>
  <c r="E18" i="1"/>
  <c r="M18" i="1" s="1"/>
  <c r="Q18" i="1" s="1"/>
  <c r="E17" i="1"/>
  <c r="E16" i="1"/>
  <c r="E15" i="1"/>
  <c r="E14" i="1"/>
  <c r="E13" i="1"/>
  <c r="Q12" i="1"/>
  <c r="Q11" i="1"/>
  <c r="Q10" i="1"/>
  <c r="Q9" i="1"/>
  <c r="Q8" i="1"/>
  <c r="D12" i="1"/>
  <c r="D9" i="1"/>
  <c r="E9" i="1" s="1"/>
  <c r="D8" i="1"/>
  <c r="E8" i="1" s="1"/>
  <c r="E7" i="1"/>
  <c r="E12" i="1"/>
  <c r="E19" i="1"/>
  <c r="E11" i="1"/>
  <c r="E10" i="1"/>
  <c r="E6" i="1"/>
  <c r="M12" i="1"/>
  <c r="M9" i="1"/>
  <c r="M8" i="1"/>
  <c r="M11" i="1"/>
  <c r="M10" i="1"/>
  <c r="I11" i="1"/>
  <c r="I10" i="1"/>
  <c r="I18" i="1" l="1"/>
  <c r="Q23" i="1"/>
  <c r="M23" i="1"/>
  <c r="E23" i="1"/>
  <c r="I23" i="1"/>
</calcChain>
</file>

<file path=xl/sharedStrings.xml><?xml version="1.0" encoding="utf-8"?>
<sst xmlns="http://schemas.openxmlformats.org/spreadsheetml/2006/main" count="37" uniqueCount="28">
  <si>
    <t>STT</t>
  </si>
  <si>
    <t>Số Tầng</t>
  </si>
  <si>
    <t>Cabin</t>
  </si>
  <si>
    <t>Cửa kính</t>
  </si>
  <si>
    <t>Khung Bao</t>
  </si>
  <si>
    <t>Butong tầng</t>
  </si>
  <si>
    <t>Thang cơ bản</t>
  </si>
  <si>
    <t>Vận chuyển</t>
  </si>
  <si>
    <t>khung thép</t>
  </si>
  <si>
    <t>Tổng Cộng</t>
  </si>
  <si>
    <t>kính</t>
  </si>
  <si>
    <t>Số Lượng</t>
  </si>
  <si>
    <t>Đơn Giá</t>
  </si>
  <si>
    <t>INOX TRẮNG</t>
  </si>
  <si>
    <t>INOX VÀNG</t>
  </si>
  <si>
    <t>INOX ĐỒNG</t>
  </si>
  <si>
    <t>Nhân công kính</t>
  </si>
  <si>
    <t xml:space="preserve">Nhôm </t>
  </si>
  <si>
    <t>COP</t>
  </si>
  <si>
    <t>Trần thả</t>
  </si>
  <si>
    <t>NC điện</t>
  </si>
  <si>
    <t>NC cơ</t>
  </si>
  <si>
    <t>Bảo trì 24 tháng</t>
  </si>
  <si>
    <t>kiểm định</t>
  </si>
  <si>
    <t>INOX ĐEN</t>
  </si>
  <si>
    <t>Tổng cộng inox Đồng</t>
  </si>
  <si>
    <t>Tổng Cộng inox Vàng</t>
  </si>
  <si>
    <t>Tổng cộng inox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</si>
</sst>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Times New Roman"/>
      <family val="2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Times New Roman"/>
      <family val="2"/>
    </font>
    <font>
      <sz val="12"/>
      <color theme="0"/>
      <name val="Times New Roman"/>
      <family val="2"/>
    </font>
    <font>
      <sz val="12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3" fontId="0" fillId="0" borderId="1" xfId="0" applyNumberFormat="1" applyBorder="1"/>
    <xf numFmtId="3" fontId="0" fillId="0" borderId="0" xfId="0" applyNumberFormat="1"/>
    <xf numFmtId="0" fontId="0" fillId="2" borderId="1" xfId="0" applyFill="1" applyBorder="1"/>
    <xf numFmtId="3" fontId="0" fillId="2" borderId="1" xfId="0" applyNumberFormat="1" applyFill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3" fontId="0" fillId="2" borderId="3" xfId="0" applyNumberFormat="1" applyFill="1" applyBorder="1"/>
    <xf numFmtId="3" fontId="0" fillId="4" borderId="1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3" fontId="0" fillId="4" borderId="1" xfId="0" applyNumberFormat="1" applyFill="1" applyBorder="1"/>
    <xf numFmtId="0" fontId="0" fillId="4" borderId="1" xfId="0" applyFill="1" applyBorder="1"/>
    <xf numFmtId="0" fontId="0" fillId="4" borderId="3" xfId="0" applyFill="1" applyBorder="1"/>
    <xf numFmtId="3" fontId="0" fillId="4" borderId="3" xfId="0" applyNumberFormat="1" applyFill="1" applyBorder="1"/>
    <xf numFmtId="3" fontId="0" fillId="3" borderId="1" xfId="0" applyNumberFormat="1" applyFill="1" applyBorder="1"/>
    <xf numFmtId="0" fontId="0" fillId="3" borderId="1" xfId="0" applyFill="1" applyBorder="1"/>
    <xf numFmtId="0" fontId="0" fillId="3" borderId="3" xfId="0" applyFill="1" applyBorder="1"/>
    <xf numFmtId="3" fontId="0" fillId="3" borderId="3" xfId="0" applyNumberFormat="1" applyFill="1" applyBorder="1"/>
    <xf numFmtId="3" fontId="1" fillId="0" borderId="3" xfId="0" applyNumberFormat="1" applyFont="1" applyBorder="1"/>
    <xf numFmtId="3" fontId="1" fillId="0" borderId="1" xfId="0" applyNumberFormat="1" applyFont="1" applyBorder="1"/>
    <xf numFmtId="3" fontId="3" fillId="0" borderId="0" xfId="0" applyNumberFormat="1" applyFont="1"/>
    <xf numFmtId="3" fontId="0" fillId="3" borderId="0" xfId="0" applyNumberFormat="1" applyFill="1"/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3" fontId="0" fillId="0" borderId="0" xfId="0" applyNumberFormat="1" applyFill="1"/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 applyBorder="1"/>
    <xf numFmtId="3" fontId="0" fillId="0" borderId="0" xfId="0" applyNumberFormat="1" applyFill="1" applyBorder="1" applyAlignment="1">
      <alignment horizontal="center"/>
    </xf>
    <xf numFmtId="3" fontId="1" fillId="0" borderId="0" xfId="0" applyNumberFormat="1" applyFont="1" applyFill="1" applyBorder="1"/>
    <xf numFmtId="3" fontId="4" fillId="2" borderId="3" xfId="0" applyNumberFormat="1" applyFont="1" applyFill="1" applyBorder="1"/>
    <xf numFmtId="3" fontId="6" fillId="2" borderId="3" xfId="0" applyNumberFormat="1" applyFont="1" applyFill="1" applyBorder="1"/>
    <xf numFmtId="3" fontId="5" fillId="5" borderId="1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3" fontId="5" fillId="5" borderId="1" xfId="0" applyNumberFormat="1" applyFont="1" applyFill="1" applyBorder="1"/>
    <xf numFmtId="0" fontId="5" fillId="5" borderId="1" xfId="0" applyFont="1" applyFill="1" applyBorder="1"/>
    <xf numFmtId="0" fontId="5" fillId="5" borderId="3" xfId="0" applyFont="1" applyFill="1" applyBorder="1"/>
    <xf numFmtId="3" fontId="5" fillId="5" borderId="3" xfId="0" applyNumberFormat="1" applyFont="1" applyFill="1" applyBorder="1"/>
    <xf numFmtId="0" fontId="0" fillId="0" borderId="0" xfId="0" applyBorder="1" applyAlignment="1">
      <alignment horizontal="center"/>
    </xf>
    <xf numFmtId="3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0041-B32A-4A55-931F-6A8AF8CCD32E}">
  <dimension ref="A2:Y45"/>
  <sheetViews>
    <sheetView tabSelected="1" topLeftCell="A7" workbookViewId="0">
      <selection activeCell="N21" sqref="N21"/>
    </sheetView>
  </sheetViews>
  <sheetFormatPr defaultRowHeight="15.75" x14ac:dyDescent="0.25"/>
  <cols>
    <col min="1" max="1" width="5" style="12" customWidth="1"/>
    <col min="2" max="2" width="11" style="2" customWidth="1"/>
    <col min="3" max="3" width="13.125" style="2" customWidth="1"/>
    <col min="4" max="4" width="8.75" style="2" customWidth="1"/>
    <col min="5" max="5" width="13.125" style="2" customWidth="1"/>
    <col min="6" max="6" width="4.125" style="2" customWidth="1"/>
    <col min="7" max="7" width="12.375" style="2" customWidth="1"/>
    <col min="8" max="8" width="8" customWidth="1"/>
    <col min="9" max="9" width="13.25" style="2" customWidth="1"/>
    <col min="10" max="10" width="4.625" style="29" customWidth="1"/>
    <col min="11" max="11" width="12.5" style="2" customWidth="1"/>
    <col min="12" max="12" width="8.625" style="2" customWidth="1"/>
    <col min="13" max="13" width="11.25" style="2" customWidth="1"/>
    <col min="14" max="14" width="9" style="2"/>
    <col min="15" max="15" width="12.125" style="2" customWidth="1"/>
    <col min="16" max="16" width="11" style="2" customWidth="1"/>
    <col min="17" max="17" width="11.5" style="2" customWidth="1"/>
    <col min="18" max="18" width="10.875" style="2" bestFit="1" customWidth="1"/>
    <col min="19" max="22" width="10.875" style="2" customWidth="1"/>
    <col min="23" max="24" width="9" style="2"/>
  </cols>
  <sheetData>
    <row r="2" spans="1:25" x14ac:dyDescent="0.25">
      <c r="R2" s="40"/>
      <c r="S2" s="40"/>
      <c r="T2" s="40"/>
      <c r="U2" s="40"/>
      <c r="V2" s="44"/>
      <c r="W2" s="44"/>
      <c r="X2" s="44"/>
      <c r="Y2" s="41"/>
    </row>
    <row r="3" spans="1:25" x14ac:dyDescent="0.25">
      <c r="C3" s="30" t="s">
        <v>13</v>
      </c>
      <c r="D3" s="31"/>
      <c r="E3" s="31"/>
      <c r="G3" s="30" t="s">
        <v>14</v>
      </c>
      <c r="H3" s="31"/>
      <c r="I3" s="31"/>
      <c r="K3" s="30" t="s">
        <v>15</v>
      </c>
      <c r="L3" s="31"/>
      <c r="M3" s="31"/>
      <c r="O3" s="30" t="s">
        <v>24</v>
      </c>
      <c r="P3" s="31"/>
      <c r="Q3" s="31"/>
      <c r="R3" s="40"/>
      <c r="S3" s="40"/>
      <c r="T3" s="40"/>
      <c r="U3" s="40"/>
      <c r="V3" s="44"/>
      <c r="W3" s="44"/>
      <c r="X3" s="44"/>
      <c r="Y3" s="41"/>
    </row>
    <row r="4" spans="1:25" s="12" customFormat="1" x14ac:dyDescent="0.25">
      <c r="A4" s="5" t="s">
        <v>0</v>
      </c>
      <c r="B4" s="6"/>
      <c r="C4" s="8" t="s">
        <v>12</v>
      </c>
      <c r="D4" s="9" t="s">
        <v>11</v>
      </c>
      <c r="E4" s="9" t="s">
        <v>1</v>
      </c>
      <c r="F4" s="37"/>
      <c r="G4" s="7" t="s">
        <v>12</v>
      </c>
      <c r="H4" s="10" t="s">
        <v>11</v>
      </c>
      <c r="I4" s="10" t="s">
        <v>1</v>
      </c>
      <c r="J4" s="37"/>
      <c r="K4" s="16" t="s">
        <v>12</v>
      </c>
      <c r="L4" s="17" t="s">
        <v>11</v>
      </c>
      <c r="M4" s="17" t="s">
        <v>1</v>
      </c>
      <c r="N4" s="11"/>
      <c r="O4" s="49" t="s">
        <v>12</v>
      </c>
      <c r="P4" s="50" t="s">
        <v>11</v>
      </c>
      <c r="Q4" s="50" t="s">
        <v>1</v>
      </c>
      <c r="R4" s="42"/>
      <c r="S4" s="42"/>
      <c r="T4" s="42"/>
      <c r="U4" s="42"/>
      <c r="V4" s="45"/>
      <c r="W4" s="45"/>
      <c r="X4" s="45"/>
      <c r="Y4" s="43"/>
    </row>
    <row r="5" spans="1:25" x14ac:dyDescent="0.25">
      <c r="A5" s="13">
        <v>1</v>
      </c>
      <c r="B5" s="1"/>
      <c r="C5" s="22"/>
      <c r="D5" s="23">
        <v>4</v>
      </c>
      <c r="E5" s="24"/>
      <c r="F5" s="38"/>
      <c r="G5" s="4"/>
      <c r="H5" s="3"/>
      <c r="I5" s="14"/>
      <c r="J5" s="38"/>
      <c r="K5" s="18"/>
      <c r="L5" s="19">
        <v>4</v>
      </c>
      <c r="M5" s="20"/>
      <c r="O5" s="51"/>
      <c r="P5" s="52">
        <v>4</v>
      </c>
      <c r="Q5" s="53"/>
      <c r="R5" s="40"/>
      <c r="S5" s="40"/>
      <c r="T5" s="40"/>
      <c r="U5" s="40"/>
      <c r="V5" s="46"/>
      <c r="W5" s="44"/>
      <c r="X5" s="44"/>
      <c r="Y5" s="41"/>
    </row>
    <row r="6" spans="1:25" x14ac:dyDescent="0.25">
      <c r="A6" s="5">
        <v>2</v>
      </c>
      <c r="B6" s="1" t="s">
        <v>6</v>
      </c>
      <c r="C6" s="22">
        <v>195000000</v>
      </c>
      <c r="D6" s="22">
        <v>1</v>
      </c>
      <c r="E6" s="25">
        <f>C6</f>
        <v>195000000</v>
      </c>
      <c r="F6" s="38"/>
      <c r="G6" s="4"/>
      <c r="H6" s="4"/>
      <c r="I6" s="15">
        <f>+C6</f>
        <v>195000000</v>
      </c>
      <c r="J6" s="38"/>
      <c r="K6" s="18"/>
      <c r="L6" s="18"/>
      <c r="M6" s="21">
        <f>+C6</f>
        <v>195000000</v>
      </c>
      <c r="O6" s="51"/>
      <c r="P6" s="51"/>
      <c r="Q6" s="54">
        <f>+C6</f>
        <v>195000000</v>
      </c>
      <c r="R6" s="40"/>
      <c r="S6" s="40"/>
      <c r="T6" s="40"/>
      <c r="U6" s="40"/>
      <c r="V6" s="44"/>
      <c r="W6" s="44"/>
      <c r="X6" s="44"/>
      <c r="Y6" s="41"/>
    </row>
    <row r="7" spans="1:25" x14ac:dyDescent="0.25">
      <c r="A7" s="5">
        <v>3</v>
      </c>
      <c r="B7" s="1" t="s">
        <v>2</v>
      </c>
      <c r="C7" s="22">
        <v>3000000</v>
      </c>
      <c r="D7" s="22">
        <v>3</v>
      </c>
      <c r="E7" s="25">
        <f>C7*D7</f>
        <v>9000000</v>
      </c>
      <c r="F7" s="38"/>
      <c r="G7" s="4">
        <v>4200000</v>
      </c>
      <c r="H7" s="4"/>
      <c r="I7" s="15">
        <f>G7*D7</f>
        <v>12600000</v>
      </c>
      <c r="J7" s="38"/>
      <c r="K7" s="18">
        <v>4600000</v>
      </c>
      <c r="L7" s="18"/>
      <c r="M7" s="21">
        <f>K7*D7</f>
        <v>13800000</v>
      </c>
      <c r="O7" s="51">
        <v>4600000</v>
      </c>
      <c r="P7" s="51"/>
      <c r="Q7" s="54">
        <f>O7*D7</f>
        <v>13800000</v>
      </c>
      <c r="R7" s="40"/>
      <c r="S7" s="40"/>
      <c r="T7" s="40"/>
      <c r="U7" s="40"/>
      <c r="V7" s="44"/>
      <c r="W7" s="44"/>
      <c r="X7" s="44"/>
      <c r="Y7" s="41"/>
    </row>
    <row r="8" spans="1:25" x14ac:dyDescent="0.25">
      <c r="A8" s="5">
        <v>4</v>
      </c>
      <c r="B8" s="1" t="s">
        <v>3</v>
      </c>
      <c r="C8" s="22">
        <v>1500000</v>
      </c>
      <c r="D8" s="22">
        <f>+D5+1</f>
        <v>5</v>
      </c>
      <c r="E8" s="25">
        <f>C8*D8</f>
        <v>7500000</v>
      </c>
      <c r="F8" s="38"/>
      <c r="G8" s="4">
        <v>2200000</v>
      </c>
      <c r="H8" s="4"/>
      <c r="I8" s="15">
        <f>+G8*D8</f>
        <v>11000000</v>
      </c>
      <c r="J8" s="38"/>
      <c r="K8" s="18">
        <v>2300000</v>
      </c>
      <c r="L8" s="18"/>
      <c r="M8" s="21">
        <f>+K8*L5</f>
        <v>9200000</v>
      </c>
      <c r="O8" s="51">
        <v>2400000</v>
      </c>
      <c r="P8" s="51"/>
      <c r="Q8" s="54">
        <f>+O8*P5</f>
        <v>9600000</v>
      </c>
      <c r="R8" s="40"/>
      <c r="S8" s="40"/>
      <c r="T8" s="40"/>
      <c r="U8" s="40"/>
      <c r="V8" s="44"/>
      <c r="W8" s="44"/>
      <c r="X8" s="44"/>
      <c r="Y8" s="41"/>
    </row>
    <row r="9" spans="1:25" x14ac:dyDescent="0.25">
      <c r="A9" s="5">
        <v>5</v>
      </c>
      <c r="B9" s="1" t="s">
        <v>4</v>
      </c>
      <c r="C9" s="22">
        <v>1200000</v>
      </c>
      <c r="D9" s="22">
        <f>+D5+1</f>
        <v>5</v>
      </c>
      <c r="E9" s="25">
        <f>C9*D9</f>
        <v>6000000</v>
      </c>
      <c r="F9" s="38"/>
      <c r="G9" s="4">
        <v>1600000</v>
      </c>
      <c r="H9" s="4"/>
      <c r="I9" s="15">
        <f>+G9*D9</f>
        <v>8000000</v>
      </c>
      <c r="J9" s="38"/>
      <c r="K9" s="18">
        <v>1800000</v>
      </c>
      <c r="L9" s="18"/>
      <c r="M9" s="21">
        <f>K9*L5</f>
        <v>7200000</v>
      </c>
      <c r="O9" s="51">
        <v>2400000</v>
      </c>
      <c r="P9" s="51"/>
      <c r="Q9" s="54">
        <f>O9*P5</f>
        <v>9600000</v>
      </c>
      <c r="R9" s="40"/>
      <c r="S9" s="40"/>
      <c r="T9" s="40"/>
      <c r="U9" s="40"/>
      <c r="V9" s="44"/>
      <c r="W9" s="44"/>
      <c r="X9" s="44"/>
      <c r="Y9" s="41"/>
    </row>
    <row r="10" spans="1:25" x14ac:dyDescent="0.25">
      <c r="A10" s="5">
        <v>6</v>
      </c>
      <c r="B10" s="1" t="s">
        <v>18</v>
      </c>
      <c r="C10" s="22">
        <v>0</v>
      </c>
      <c r="D10" s="22">
        <v>1</v>
      </c>
      <c r="E10" s="25">
        <f>C10</f>
        <v>0</v>
      </c>
      <c r="F10" s="38"/>
      <c r="G10" s="4">
        <v>500000</v>
      </c>
      <c r="H10" s="4"/>
      <c r="I10" s="15">
        <f>G10</f>
        <v>500000</v>
      </c>
      <c r="J10" s="38"/>
      <c r="K10" s="18">
        <v>700000</v>
      </c>
      <c r="L10" s="18"/>
      <c r="M10" s="21">
        <f>K10</f>
        <v>700000</v>
      </c>
      <c r="O10" s="51">
        <v>800000</v>
      </c>
      <c r="P10" s="51"/>
      <c r="Q10" s="54">
        <f>O10</f>
        <v>800000</v>
      </c>
      <c r="R10" s="40"/>
      <c r="S10" s="40"/>
      <c r="T10" s="40"/>
      <c r="U10" s="40"/>
      <c r="V10" s="44"/>
      <c r="W10" s="44"/>
      <c r="X10" s="44"/>
      <c r="Y10" s="41"/>
    </row>
    <row r="11" spans="1:25" x14ac:dyDescent="0.25">
      <c r="A11" s="5">
        <v>8</v>
      </c>
      <c r="B11" s="1" t="s">
        <v>19</v>
      </c>
      <c r="C11" s="22">
        <v>0</v>
      </c>
      <c r="D11" s="22">
        <v>1</v>
      </c>
      <c r="E11" s="25">
        <f>C11</f>
        <v>0</v>
      </c>
      <c r="F11" s="38"/>
      <c r="G11" s="4">
        <v>600000</v>
      </c>
      <c r="H11" s="4"/>
      <c r="I11" s="15">
        <f>G11</f>
        <v>600000</v>
      </c>
      <c r="J11" s="38"/>
      <c r="K11" s="18">
        <v>800000</v>
      </c>
      <c r="L11" s="18"/>
      <c r="M11" s="21">
        <f>K11</f>
        <v>800000</v>
      </c>
      <c r="O11" s="51">
        <v>1000000</v>
      </c>
      <c r="P11" s="51"/>
      <c r="Q11" s="54">
        <f>O11</f>
        <v>1000000</v>
      </c>
      <c r="R11" s="40"/>
      <c r="S11" s="40"/>
      <c r="T11" s="40"/>
      <c r="U11" s="40"/>
      <c r="V11" s="44"/>
      <c r="W11" s="44"/>
      <c r="X11" s="44"/>
      <c r="Y11" s="41"/>
    </row>
    <row r="12" spans="1:25" x14ac:dyDescent="0.25">
      <c r="A12" s="5">
        <v>9</v>
      </c>
      <c r="B12" s="1" t="s">
        <v>5</v>
      </c>
      <c r="C12" s="22">
        <v>0</v>
      </c>
      <c r="D12" s="22">
        <f>+D5</f>
        <v>4</v>
      </c>
      <c r="E12" s="25">
        <f>C12*D5</f>
        <v>0</v>
      </c>
      <c r="F12" s="38"/>
      <c r="G12" s="4">
        <v>300000</v>
      </c>
      <c r="H12" s="4"/>
      <c r="I12" s="15">
        <f>+G12*D12</f>
        <v>1200000</v>
      </c>
      <c r="J12" s="38"/>
      <c r="K12" s="18">
        <v>400000</v>
      </c>
      <c r="L12" s="18"/>
      <c r="M12" s="21">
        <f>K12*L5</f>
        <v>1600000</v>
      </c>
      <c r="O12" s="51">
        <v>500000</v>
      </c>
      <c r="P12" s="51"/>
      <c r="Q12" s="54">
        <f>O12*P5</f>
        <v>2000000</v>
      </c>
      <c r="R12" s="40"/>
      <c r="S12" s="40"/>
      <c r="T12" s="40"/>
      <c r="U12" s="40"/>
      <c r="V12" s="44"/>
      <c r="W12" s="44"/>
      <c r="X12" s="44"/>
      <c r="Y12" s="41"/>
    </row>
    <row r="13" spans="1:25" x14ac:dyDescent="0.25">
      <c r="A13" s="5">
        <v>10</v>
      </c>
      <c r="B13" s="1" t="s">
        <v>21</v>
      </c>
      <c r="C13" s="22">
        <v>5000000</v>
      </c>
      <c r="D13" s="22">
        <v>5</v>
      </c>
      <c r="E13" s="25">
        <f>C13*D13</f>
        <v>25000000</v>
      </c>
      <c r="F13" s="38"/>
      <c r="G13" s="4"/>
      <c r="H13" s="4"/>
      <c r="I13" s="48">
        <f>+E13</f>
        <v>25000000</v>
      </c>
      <c r="J13" s="38"/>
      <c r="K13" s="18">
        <v>35000000</v>
      </c>
      <c r="L13" s="18"/>
      <c r="M13" s="18">
        <f>+E13</f>
        <v>25000000</v>
      </c>
      <c r="O13" s="51"/>
      <c r="P13" s="51"/>
      <c r="Q13" s="54">
        <f>+M13</f>
        <v>25000000</v>
      </c>
      <c r="R13" s="40"/>
      <c r="S13" s="40"/>
      <c r="T13" s="40"/>
      <c r="U13" s="40"/>
      <c r="V13" s="44"/>
      <c r="W13" s="44"/>
      <c r="X13" s="44"/>
      <c r="Y13" s="41"/>
    </row>
    <row r="14" spans="1:25" x14ac:dyDescent="0.25">
      <c r="A14" s="5"/>
      <c r="B14" s="1" t="s">
        <v>20</v>
      </c>
      <c r="C14" s="22">
        <v>1200000</v>
      </c>
      <c r="D14" s="22">
        <v>5</v>
      </c>
      <c r="E14" s="25">
        <f>C14*D14</f>
        <v>6000000</v>
      </c>
      <c r="F14" s="38"/>
      <c r="G14" s="4"/>
      <c r="H14" s="4"/>
      <c r="I14" s="48">
        <f t="shared" ref="I14:I22" si="0">+E14</f>
        <v>6000000</v>
      </c>
      <c r="J14" s="38"/>
      <c r="K14" s="18"/>
      <c r="L14" s="18"/>
      <c r="M14" s="18">
        <f>+E14</f>
        <v>6000000</v>
      </c>
      <c r="O14" s="51"/>
      <c r="P14" s="51"/>
      <c r="Q14" s="54">
        <f>+M14</f>
        <v>6000000</v>
      </c>
      <c r="R14" s="40"/>
      <c r="S14" s="40"/>
      <c r="T14" s="40"/>
      <c r="U14" s="40"/>
      <c r="V14" s="44"/>
      <c r="W14" s="44"/>
      <c r="X14" s="44"/>
      <c r="Y14" s="41"/>
    </row>
    <row r="15" spans="1:25" x14ac:dyDescent="0.25">
      <c r="A15" s="5"/>
      <c r="B15" s="1" t="s">
        <v>22</v>
      </c>
      <c r="C15" s="22">
        <v>10000000</v>
      </c>
      <c r="D15" s="22">
        <v>1</v>
      </c>
      <c r="E15" s="25">
        <f>C15*D15</f>
        <v>10000000</v>
      </c>
      <c r="F15" s="38"/>
      <c r="G15" s="4"/>
      <c r="H15" s="4"/>
      <c r="I15" s="48">
        <f t="shared" si="0"/>
        <v>10000000</v>
      </c>
      <c r="J15" s="38"/>
      <c r="K15" s="18"/>
      <c r="L15" s="18"/>
      <c r="M15" s="18">
        <f t="shared" ref="M15:M22" si="1">+E15</f>
        <v>10000000</v>
      </c>
      <c r="O15" s="51"/>
      <c r="P15" s="51"/>
      <c r="Q15" s="54">
        <f t="shared" ref="Q15:Q22" si="2">+M15</f>
        <v>10000000</v>
      </c>
      <c r="R15" s="40"/>
      <c r="S15" s="40"/>
      <c r="T15" s="40"/>
      <c r="U15" s="40"/>
      <c r="V15" s="44"/>
      <c r="W15" s="44"/>
      <c r="X15" s="44"/>
      <c r="Y15" s="41"/>
    </row>
    <row r="16" spans="1:25" x14ac:dyDescent="0.25">
      <c r="A16" s="5"/>
      <c r="B16" s="1" t="s">
        <v>23</v>
      </c>
      <c r="C16" s="22">
        <v>2500000</v>
      </c>
      <c r="D16" s="22">
        <v>1</v>
      </c>
      <c r="E16" s="25">
        <f>C16*D16</f>
        <v>2500000</v>
      </c>
      <c r="F16" s="38"/>
      <c r="G16" s="4"/>
      <c r="H16" s="4"/>
      <c r="I16" s="48">
        <f t="shared" si="0"/>
        <v>2500000</v>
      </c>
      <c r="J16" s="38"/>
      <c r="K16" s="18"/>
      <c r="L16" s="18"/>
      <c r="M16" s="18">
        <f t="shared" si="1"/>
        <v>2500000</v>
      </c>
      <c r="O16" s="51"/>
      <c r="P16" s="51"/>
      <c r="Q16" s="54">
        <f t="shared" si="2"/>
        <v>2500000</v>
      </c>
      <c r="R16" s="40"/>
      <c r="S16" s="40"/>
      <c r="T16" s="40"/>
      <c r="U16" s="40"/>
      <c r="V16" s="44"/>
      <c r="W16" s="44"/>
      <c r="X16" s="44"/>
      <c r="Y16" s="41"/>
    </row>
    <row r="17" spans="1:25" x14ac:dyDescent="0.25">
      <c r="A17" s="5">
        <v>11</v>
      </c>
      <c r="B17" s="1" t="s">
        <v>7</v>
      </c>
      <c r="C17" s="22">
        <v>5000000</v>
      </c>
      <c r="D17" s="22">
        <v>1</v>
      </c>
      <c r="E17" s="25">
        <f>C17*D17</f>
        <v>5000000</v>
      </c>
      <c r="F17" s="38"/>
      <c r="G17" s="4"/>
      <c r="H17" s="4"/>
      <c r="I17" s="48">
        <f t="shared" si="0"/>
        <v>5000000</v>
      </c>
      <c r="J17" s="38"/>
      <c r="K17" s="18"/>
      <c r="L17" s="18"/>
      <c r="M17" s="18">
        <f t="shared" si="1"/>
        <v>5000000</v>
      </c>
      <c r="O17" s="51"/>
      <c r="P17" s="51"/>
      <c r="Q17" s="54">
        <f t="shared" si="2"/>
        <v>5000000</v>
      </c>
      <c r="R17" s="40"/>
      <c r="S17" s="40"/>
      <c r="T17" s="40"/>
      <c r="U17" s="40"/>
      <c r="V17" s="44"/>
      <c r="W17" s="44"/>
      <c r="X17" s="44"/>
      <c r="Y17" s="41"/>
    </row>
    <row r="18" spans="1:25" x14ac:dyDescent="0.25">
      <c r="A18" s="5">
        <v>12</v>
      </c>
      <c r="B18" s="1" t="s">
        <v>8</v>
      </c>
      <c r="C18" s="22">
        <v>28000000</v>
      </c>
      <c r="D18" s="22">
        <v>1</v>
      </c>
      <c r="E18" s="25">
        <f>C18*D18</f>
        <v>28000000</v>
      </c>
      <c r="F18" s="38"/>
      <c r="G18" s="4"/>
      <c r="H18" s="4"/>
      <c r="I18" s="48">
        <f t="shared" si="0"/>
        <v>28000000</v>
      </c>
      <c r="J18" s="38"/>
      <c r="K18" s="18"/>
      <c r="L18" s="18"/>
      <c r="M18" s="18">
        <f t="shared" si="1"/>
        <v>28000000</v>
      </c>
      <c r="O18" s="51"/>
      <c r="P18" s="51"/>
      <c r="Q18" s="54">
        <f t="shared" si="2"/>
        <v>28000000</v>
      </c>
      <c r="R18" s="40"/>
      <c r="S18" s="40"/>
      <c r="T18" s="40"/>
      <c r="U18" s="40"/>
      <c r="V18" s="40"/>
      <c r="W18" s="40"/>
      <c r="X18" s="40"/>
      <c r="Y18" s="41"/>
    </row>
    <row r="19" spans="1:25" x14ac:dyDescent="0.25">
      <c r="A19" s="5">
        <v>13</v>
      </c>
      <c r="B19" s="1" t="s">
        <v>10</v>
      </c>
      <c r="C19" s="22">
        <v>400000</v>
      </c>
      <c r="D19" s="23">
        <v>50</v>
      </c>
      <c r="E19" s="25">
        <f>C19*D19</f>
        <v>20000000</v>
      </c>
      <c r="F19" s="38"/>
      <c r="G19" s="4"/>
      <c r="H19" s="3"/>
      <c r="I19" s="48">
        <f t="shared" si="0"/>
        <v>20000000</v>
      </c>
      <c r="J19" s="38"/>
      <c r="K19" s="18"/>
      <c r="L19" s="19"/>
      <c r="M19" s="18">
        <f t="shared" si="1"/>
        <v>20000000</v>
      </c>
      <c r="O19" s="51"/>
      <c r="P19" s="52"/>
      <c r="Q19" s="54">
        <f t="shared" si="2"/>
        <v>20000000</v>
      </c>
      <c r="R19" s="40"/>
      <c r="S19" s="40"/>
      <c r="T19" s="40"/>
      <c r="U19" s="40"/>
      <c r="V19" s="40"/>
      <c r="W19" s="40"/>
      <c r="X19" s="40"/>
      <c r="Y19" s="41"/>
    </row>
    <row r="20" spans="1:25" x14ac:dyDescent="0.25">
      <c r="A20" s="5"/>
      <c r="B20" s="1" t="s">
        <v>16</v>
      </c>
      <c r="C20" s="22">
        <v>15000000</v>
      </c>
      <c r="D20" s="23">
        <v>1</v>
      </c>
      <c r="E20" s="25">
        <f>C20*D20</f>
        <v>15000000</v>
      </c>
      <c r="F20" s="38"/>
      <c r="G20" s="4"/>
      <c r="H20" s="3"/>
      <c r="I20" s="48">
        <f t="shared" si="0"/>
        <v>15000000</v>
      </c>
      <c r="J20" s="38"/>
      <c r="K20" s="18"/>
      <c r="L20" s="19"/>
      <c r="M20" s="18">
        <f t="shared" si="1"/>
        <v>15000000</v>
      </c>
      <c r="O20" s="51"/>
      <c r="P20" s="52"/>
      <c r="Q20" s="54">
        <f t="shared" si="2"/>
        <v>15000000</v>
      </c>
    </row>
    <row r="21" spans="1:25" x14ac:dyDescent="0.25">
      <c r="A21" s="5"/>
      <c r="B21" s="1" t="s">
        <v>17</v>
      </c>
      <c r="C21" s="22">
        <v>1200000</v>
      </c>
      <c r="D21" s="23">
        <f>+D5</f>
        <v>4</v>
      </c>
      <c r="E21" s="25">
        <f>C21*D21</f>
        <v>4800000</v>
      </c>
      <c r="F21" s="38"/>
      <c r="G21" s="4"/>
      <c r="H21" s="3"/>
      <c r="I21" s="48">
        <f t="shared" si="0"/>
        <v>4800000</v>
      </c>
      <c r="J21" s="38"/>
      <c r="K21" s="18"/>
      <c r="L21" s="19"/>
      <c r="M21" s="18">
        <f t="shared" si="1"/>
        <v>4800000</v>
      </c>
      <c r="O21" s="51"/>
      <c r="P21" s="52"/>
      <c r="Q21" s="54">
        <f t="shared" si="2"/>
        <v>4800000</v>
      </c>
    </row>
    <row r="22" spans="1:25" x14ac:dyDescent="0.25">
      <c r="A22" s="5">
        <v>14</v>
      </c>
      <c r="B22" s="1"/>
      <c r="C22" s="22">
        <v>70000000</v>
      </c>
      <c r="D22" s="22">
        <v>1</v>
      </c>
      <c r="E22" s="25">
        <f>C22*D22</f>
        <v>70000000</v>
      </c>
      <c r="F22" s="38"/>
      <c r="G22" s="4"/>
      <c r="H22" s="4"/>
      <c r="I22" s="47">
        <f t="shared" si="0"/>
        <v>70000000</v>
      </c>
      <c r="J22" s="38"/>
      <c r="K22" s="18"/>
      <c r="L22" s="18"/>
      <c r="M22" s="18">
        <f t="shared" si="1"/>
        <v>70000000</v>
      </c>
      <c r="O22" s="51"/>
      <c r="P22" s="51"/>
      <c r="Q22" s="54">
        <f t="shared" si="2"/>
        <v>70000000</v>
      </c>
    </row>
    <row r="23" spans="1:25" x14ac:dyDescent="0.25">
      <c r="A23" s="32" t="s">
        <v>9</v>
      </c>
      <c r="B23" s="32"/>
      <c r="C23" s="32"/>
      <c r="D23" s="32"/>
      <c r="E23" s="27">
        <f>+SUM(E6:E22)</f>
        <v>403800000</v>
      </c>
      <c r="F23" s="39"/>
      <c r="G23" s="33" t="s">
        <v>26</v>
      </c>
      <c r="H23" s="34"/>
      <c r="I23" s="26">
        <f>+SUM(I6:I22)</f>
        <v>415200000</v>
      </c>
      <c r="J23" s="39"/>
      <c r="K23" s="35" t="s">
        <v>25</v>
      </c>
      <c r="L23" s="36"/>
      <c r="M23" s="27">
        <f>+SUM(M6:M22)</f>
        <v>414600000</v>
      </c>
      <c r="O23" s="35" t="s">
        <v>27</v>
      </c>
      <c r="P23" s="36"/>
      <c r="Q23" s="27">
        <f>+SUM(Q6:Q22)</f>
        <v>418100000</v>
      </c>
    </row>
    <row r="25" spans="1:25" x14ac:dyDescent="0.25">
      <c r="M25" s="28"/>
    </row>
    <row r="28" spans="1:25" x14ac:dyDescent="0.25">
      <c r="A28" s="55"/>
      <c r="B28" s="56"/>
      <c r="C28" s="56"/>
      <c r="D28" s="56"/>
      <c r="E28" s="56"/>
      <c r="F28" s="56"/>
      <c r="G28" s="56"/>
      <c r="H28" s="57"/>
      <c r="I28" s="56"/>
    </row>
    <row r="29" spans="1:25" x14ac:dyDescent="0.25">
      <c r="A29" s="55"/>
      <c r="B29" s="56"/>
      <c r="C29" s="56"/>
      <c r="D29" s="56"/>
      <c r="E29" s="56"/>
      <c r="F29" s="56"/>
      <c r="G29" s="56"/>
      <c r="H29" s="57"/>
      <c r="I29" s="56"/>
    </row>
    <row r="30" spans="1:25" x14ac:dyDescent="0.25">
      <c r="A30" s="55"/>
      <c r="B30" s="56"/>
      <c r="C30" s="56"/>
      <c r="D30" s="56"/>
      <c r="E30" s="56"/>
      <c r="F30" s="56"/>
      <c r="G30" s="56"/>
      <c r="H30" s="57"/>
      <c r="I30" s="56"/>
    </row>
    <row r="31" spans="1:25" x14ac:dyDescent="0.25">
      <c r="A31" s="55"/>
      <c r="B31" s="56"/>
      <c r="C31" s="56"/>
      <c r="D31" s="56"/>
      <c r="E31" s="56"/>
      <c r="F31" s="56"/>
      <c r="G31" s="56"/>
      <c r="H31" s="57"/>
      <c r="I31" s="56"/>
    </row>
    <row r="32" spans="1:25" x14ac:dyDescent="0.25">
      <c r="A32" s="55"/>
      <c r="B32" s="56"/>
      <c r="C32" s="56"/>
      <c r="D32" s="56"/>
      <c r="E32" s="56"/>
      <c r="F32" s="56"/>
      <c r="G32" s="56"/>
      <c r="H32" s="57"/>
      <c r="I32" s="56"/>
    </row>
    <row r="33" spans="1:9" x14ac:dyDescent="0.25">
      <c r="A33" s="55"/>
      <c r="B33" s="56"/>
      <c r="C33" s="56"/>
      <c r="D33" s="56"/>
      <c r="E33" s="56"/>
      <c r="F33" s="56"/>
      <c r="G33" s="56"/>
      <c r="H33" s="57"/>
      <c r="I33" s="56"/>
    </row>
    <row r="34" spans="1:9" x14ac:dyDescent="0.25">
      <c r="A34" s="55"/>
      <c r="B34" s="56"/>
      <c r="C34" s="56"/>
      <c r="D34" s="56"/>
      <c r="E34" s="56"/>
      <c r="F34" s="56"/>
      <c r="G34" s="56"/>
      <c r="H34" s="57"/>
      <c r="I34" s="56"/>
    </row>
    <row r="35" spans="1:9" x14ac:dyDescent="0.25">
      <c r="A35" s="55"/>
      <c r="B35" s="56"/>
      <c r="C35" s="56"/>
      <c r="D35" s="56"/>
      <c r="E35" s="56"/>
      <c r="F35" s="56"/>
      <c r="G35" s="56"/>
      <c r="H35" s="57"/>
      <c r="I35" s="56"/>
    </row>
    <row r="36" spans="1:9" x14ac:dyDescent="0.25">
      <c r="A36" s="55"/>
      <c r="B36" s="56"/>
      <c r="C36" s="56"/>
      <c r="D36" s="56"/>
      <c r="E36" s="56"/>
      <c r="F36" s="56"/>
      <c r="G36" s="56"/>
      <c r="H36" s="57"/>
      <c r="I36" s="56"/>
    </row>
    <row r="37" spans="1:9" x14ac:dyDescent="0.25">
      <c r="A37" s="55"/>
      <c r="B37" s="56"/>
      <c r="C37" s="56"/>
      <c r="D37" s="56"/>
      <c r="E37" s="56"/>
      <c r="F37" s="56"/>
      <c r="G37" s="56"/>
      <c r="H37" s="57"/>
      <c r="I37" s="56"/>
    </row>
    <row r="38" spans="1:9" x14ac:dyDescent="0.25">
      <c r="A38" s="55"/>
      <c r="B38" s="56"/>
      <c r="C38" s="56"/>
      <c r="D38" s="56"/>
      <c r="E38" s="56"/>
      <c r="F38" s="56"/>
      <c r="G38" s="56"/>
      <c r="H38" s="57"/>
      <c r="I38" s="56"/>
    </row>
    <row r="39" spans="1:9" x14ac:dyDescent="0.25">
      <c r="A39" s="55"/>
      <c r="B39" s="56"/>
      <c r="C39" s="56"/>
      <c r="D39" s="56"/>
      <c r="E39" s="56"/>
      <c r="F39" s="56"/>
      <c r="G39" s="56"/>
      <c r="H39" s="57"/>
      <c r="I39" s="56"/>
    </row>
    <row r="40" spans="1:9" x14ac:dyDescent="0.25">
      <c r="A40" s="55"/>
      <c r="B40" s="56"/>
      <c r="C40" s="56"/>
      <c r="D40" s="56"/>
      <c r="E40" s="56"/>
      <c r="F40" s="56"/>
      <c r="G40" s="56"/>
      <c r="H40" s="57"/>
      <c r="I40" s="56"/>
    </row>
    <row r="41" spans="1:9" x14ac:dyDescent="0.25">
      <c r="A41" s="55"/>
      <c r="B41" s="56"/>
      <c r="C41" s="56"/>
      <c r="D41" s="56"/>
      <c r="E41" s="56"/>
      <c r="F41" s="56"/>
      <c r="G41" s="56"/>
      <c r="H41" s="57"/>
      <c r="I41" s="56"/>
    </row>
    <row r="42" spans="1:9" x14ac:dyDescent="0.25">
      <c r="A42" s="55"/>
      <c r="B42" s="56"/>
      <c r="C42" s="56"/>
      <c r="D42" s="56"/>
      <c r="E42" s="56"/>
      <c r="F42" s="56"/>
      <c r="G42" s="56"/>
      <c r="H42" s="57"/>
      <c r="I42" s="56"/>
    </row>
    <row r="43" spans="1:9" x14ac:dyDescent="0.25">
      <c r="A43" s="55"/>
      <c r="B43" s="56"/>
      <c r="C43" s="56"/>
      <c r="D43" s="56"/>
      <c r="E43" s="56"/>
      <c r="F43" s="56"/>
      <c r="G43" s="56"/>
      <c r="H43" s="57"/>
      <c r="I43" s="56"/>
    </row>
    <row r="44" spans="1:9" x14ac:dyDescent="0.25">
      <c r="A44" s="55"/>
      <c r="B44" s="56"/>
      <c r="C44" s="56"/>
      <c r="D44" s="56"/>
      <c r="E44" s="56"/>
      <c r="F44" s="56"/>
      <c r="G44" s="56"/>
      <c r="H44" s="57"/>
      <c r="I44" s="56"/>
    </row>
    <row r="45" spans="1:9" x14ac:dyDescent="0.25">
      <c r="A45" s="55"/>
      <c r="B45" s="56"/>
      <c r="C45" s="56"/>
      <c r="D45" s="56"/>
      <c r="E45" s="56"/>
      <c r="F45" s="56"/>
      <c r="G45" s="56"/>
      <c r="H45" s="57"/>
      <c r="I45" s="56"/>
    </row>
  </sheetData>
  <mergeCells count="10">
    <mergeCell ref="O3:Q3"/>
    <mergeCell ref="O23:P23"/>
    <mergeCell ref="C3:E3"/>
    <mergeCell ref="G3:I3"/>
    <mergeCell ref="K3:M3"/>
    <mergeCell ref="A23:D23"/>
    <mergeCell ref="G23:H23"/>
    <mergeCell ref="K23:L23"/>
    <mergeCell ref="F4:F23"/>
    <mergeCell ref="J4:J2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2025-04-05T14:46:22Z</dcterms:created>
  <dcterms:modified xsi:type="dcterms:W3CDTF">2026-04-13T15:28:46Z</dcterms:modified>
</cp:coreProperties>
</file>